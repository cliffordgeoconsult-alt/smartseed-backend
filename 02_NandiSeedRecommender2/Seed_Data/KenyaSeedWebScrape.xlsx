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DAgSV7/VVzh3xdm0a6pB0VcSGwTn3DF3P3GlsLfQ5M="/>
    </ext>
  </extLst>
</workbook>
</file>

<file path=xl/sharedStrings.xml><?xml version="1.0" encoding="utf-8"?>
<sst xmlns="http://schemas.openxmlformats.org/spreadsheetml/2006/main" count="123" uniqueCount="92">
  <si>
    <t>Category</t>
  </si>
  <si>
    <t>Variety</t>
  </si>
  <si>
    <t>Elevation Min</t>
  </si>
  <si>
    <t>Elevation Max</t>
  </si>
  <si>
    <t>Time to Maturity</t>
  </si>
  <si>
    <t>Precipitation Min</t>
  </si>
  <si>
    <t>Precipitation Max</t>
  </si>
  <si>
    <t>Potential Yield (90kg Bags/Acre)</t>
  </si>
  <si>
    <t>Potential yield (t/Ha)</t>
  </si>
  <si>
    <t>Key Attributes</t>
  </si>
  <si>
    <t>GLS</t>
  </si>
  <si>
    <t>Blight</t>
  </si>
  <si>
    <t>MSV</t>
  </si>
  <si>
    <t>Rust</t>
  </si>
  <si>
    <t>Ear Rot</t>
  </si>
  <si>
    <t>Foliar Disease</t>
  </si>
  <si>
    <t>Cob Rot</t>
  </si>
  <si>
    <t>Moisture-Stress Tolerant</t>
  </si>
  <si>
    <t>Lodging Resistance</t>
  </si>
  <si>
    <t>Heat Tolerant</t>
  </si>
  <si>
    <t>Cold Tolerant</t>
  </si>
  <si>
    <t>Reference Link</t>
  </si>
  <si>
    <t>Highland Varieties</t>
  </si>
  <si>
    <t>H614D</t>
  </si>
  <si>
    <t>160 - 210 Days</t>
  </si>
  <si>
    <t>Sweet tasting; high grain density; long storage; GLS and Blight resistance</t>
  </si>
  <si>
    <t>H628</t>
  </si>
  <si>
    <t>150 - 210 Days</t>
  </si>
  <si>
    <t>Heavy white grains; Flint type; resistant to Blight and GLS</t>
  </si>
  <si>
    <t>H629</t>
  </si>
  <si>
    <t>Lodging resistant; superior husk cover; resistant to GLS and Ear Rot</t>
  </si>
  <si>
    <t>H9401</t>
  </si>
  <si>
    <t>160 - 190 Days</t>
  </si>
  <si>
    <t>High silage potential; lodging and rust resistant; tolerant to GLS</t>
  </si>
  <si>
    <t>H6213</t>
  </si>
  <si>
    <t>Excellent milling qualities; resistant to Rust, GLS, and Stem/Leaf Blight</t>
  </si>
  <si>
    <t>H6218</t>
  </si>
  <si>
    <t>Adapts to frost and mist; highest yield in the highland hybrid category</t>
  </si>
  <si>
    <t>H626</t>
  </si>
  <si>
    <t>Stable under cool nights; consistent cob fill even under low light</t>
  </si>
  <si>
    <t>H6210</t>
  </si>
  <si>
    <t>11 (Tons/Ha)</t>
  </si>
  <si>
    <t>High potential in rainfall-secure highland zones</t>
  </si>
  <si>
    <t>Medium and Transitional Varieties</t>
  </si>
  <si>
    <t>H513</t>
  </si>
  <si>
    <t>110 - 130 Days</t>
  </si>
  <si>
    <t>Sweet tasting; good standability; partially tolerant to MSV</t>
  </si>
  <si>
    <t>H516</t>
  </si>
  <si>
    <t>120 - 150 Days</t>
  </si>
  <si>
    <t>Sweet tasting; resistant to Blight, Rust, and lodging</t>
  </si>
  <si>
    <t>H517</t>
  </si>
  <si>
    <t>Foliar disease tolerance; superior husk cover; tolerant to Cob Rot</t>
  </si>
  <si>
    <t>H520</t>
  </si>
  <si>
    <t>120 - 130 Days</t>
  </si>
  <si>
    <t>Reliable under erratic rainfall; widely adapted to coffee-belts</t>
  </si>
  <si>
    <t>H624</t>
  </si>
  <si>
    <t>120 - 180 Days</t>
  </si>
  <si>
    <t>Balanced yield/cost; dependable mid-altitude performer</t>
  </si>
  <si>
    <t>H522</t>
  </si>
  <si>
    <t>100 - 110 Days</t>
  </si>
  <si>
    <t>Early maturity; tolerant to lodging and GLS</t>
  </si>
  <si>
    <t>H515</t>
  </si>
  <si>
    <t>Tolerant to Leaf Blight, Rust, and GLS; early maturity</t>
  </si>
  <si>
    <t>H511</t>
  </si>
  <si>
    <t>120 - 135 Days</t>
  </si>
  <si>
    <t>Standard mid-altitude variety; good for green maize</t>
  </si>
  <si>
    <t>Dryland and Lowland Varieties</t>
  </si>
  <si>
    <t>DH01</t>
  </si>
  <si>
    <t>70 Days</t>
  </si>
  <si>
    <t>Early maturity; stay-green trait; tolerant to Rust and Blight</t>
  </si>
  <si>
    <t>DH02</t>
  </si>
  <si>
    <t>70 - 100 Days</t>
  </si>
  <si>
    <t>Moisture stress tolerant; resistant to MSV; white dent kernels</t>
  </si>
  <si>
    <t>DH04</t>
  </si>
  <si>
    <t>75 - 100 Days</t>
  </si>
  <si>
    <t>Drought tolerant; good standability and husk cover</t>
  </si>
  <si>
    <t>DH08</t>
  </si>
  <si>
    <t>100 - 120 Days</t>
  </si>
  <si>
    <t>Semi-dent; good standability; tolerant to Ear Rots</t>
  </si>
  <si>
    <t>PH1</t>
  </si>
  <si>
    <t>Heat tolerant; drought resistant; adapted to hot coastal zones</t>
  </si>
  <si>
    <t>PH4</t>
  </si>
  <si>
    <t>Very sweet; high prolificacy; Rust and humidity resistant</t>
  </si>
  <si>
    <t>DH09</t>
  </si>
  <si>
    <t>105 - 120 Days</t>
  </si>
  <si>
    <t>Higher yielding than H511; excellent Ear Rot resistance</t>
  </si>
  <si>
    <t>DH10</t>
  </si>
  <si>
    <t>100 - 115 Days</t>
  </si>
  <si>
    <t>Out-yields H511 significantly; resistant to lodging and GLS</t>
  </si>
  <si>
    <t>KSDTV-01</t>
  </si>
  <si>
    <t>90 - 110 Days</t>
  </si>
  <si>
    <t>Fast-maturing hybrid for marginal Eastern and Coast zones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</si>
</sst>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35.0"/>
    <col customWidth="1" min="10" max="10" width="8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1" t="s">
        <v>22</v>
      </c>
      <c r="B2" s="1" t="s">
        <v>23</v>
      </c>
      <c r="C2" s="1">
        <v>1500.0</v>
      </c>
      <c r="D2" s="1">
        <v>2800.0</v>
      </c>
      <c r="E2" s="1" t="s">
        <v>24</v>
      </c>
      <c r="F2" s="1">
        <v>800.0</v>
      </c>
      <c r="G2" s="1">
        <v>9999.0</v>
      </c>
      <c r="H2" s="1">
        <v>38.0</v>
      </c>
      <c r="I2" s="1">
        <f t="shared" ref="I2:I8" si="1">H2*0.22</f>
        <v>8.36</v>
      </c>
      <c r="J2" s="1" t="s">
        <v>25</v>
      </c>
      <c r="K2" s="1">
        <v>1.0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2.0</v>
      </c>
    </row>
    <row r="3" ht="15.75" customHeight="1">
      <c r="A3" s="1" t="s">
        <v>22</v>
      </c>
      <c r="B3" s="1" t="s">
        <v>26</v>
      </c>
      <c r="C3" s="1">
        <v>1500.0</v>
      </c>
      <c r="D3" s="1">
        <v>2800.0</v>
      </c>
      <c r="E3" s="1" t="s">
        <v>27</v>
      </c>
      <c r="F3" s="1">
        <v>800.0</v>
      </c>
      <c r="G3" s="1">
        <v>9999.0</v>
      </c>
      <c r="H3" s="1">
        <v>46.0</v>
      </c>
      <c r="I3" s="1">
        <f t="shared" si="1"/>
        <v>10.12</v>
      </c>
      <c r="J3" s="1" t="s">
        <v>28</v>
      </c>
      <c r="K3" s="1">
        <v>1.0</v>
      </c>
      <c r="L3" s="1">
        <v>1.0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2.0</v>
      </c>
    </row>
    <row r="4" ht="15.75" customHeight="1">
      <c r="A4" s="1" t="s">
        <v>22</v>
      </c>
      <c r="B4" s="1" t="s">
        <v>29</v>
      </c>
      <c r="C4" s="1">
        <v>1500.0</v>
      </c>
      <c r="D4" s="1">
        <v>2800.0</v>
      </c>
      <c r="E4" s="1" t="s">
        <v>24</v>
      </c>
      <c r="F4" s="1">
        <v>800.0</v>
      </c>
      <c r="G4" s="1">
        <v>9999.0</v>
      </c>
      <c r="H4" s="1">
        <v>48.0</v>
      </c>
      <c r="I4" s="1">
        <f t="shared" si="1"/>
        <v>10.56</v>
      </c>
      <c r="J4" s="1" t="s">
        <v>30</v>
      </c>
      <c r="K4" s="1">
        <v>1.0</v>
      </c>
      <c r="L4" s="1">
        <v>0.0</v>
      </c>
      <c r="M4" s="1">
        <v>0.0</v>
      </c>
      <c r="N4" s="1">
        <v>0.0</v>
      </c>
      <c r="O4" s="1">
        <v>1.0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2.0</v>
      </c>
    </row>
    <row r="5" ht="15.75" customHeight="1">
      <c r="A5" s="1" t="s">
        <v>22</v>
      </c>
      <c r="B5" s="1" t="s">
        <v>31</v>
      </c>
      <c r="C5" s="1">
        <v>1500.0</v>
      </c>
      <c r="D5" s="1">
        <v>2800.0</v>
      </c>
      <c r="E5" s="1" t="s">
        <v>32</v>
      </c>
      <c r="F5" s="1">
        <v>800.0</v>
      </c>
      <c r="G5" s="1">
        <v>9999.0</v>
      </c>
      <c r="H5" s="1">
        <v>50.0</v>
      </c>
      <c r="I5" s="1">
        <f t="shared" si="1"/>
        <v>11</v>
      </c>
      <c r="J5" s="1" t="s">
        <v>33</v>
      </c>
      <c r="K5" s="1">
        <v>1.0</v>
      </c>
      <c r="L5" s="1">
        <v>0.0</v>
      </c>
      <c r="M5" s="1">
        <v>0.0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  <c r="S5" s="1">
        <v>1.0</v>
      </c>
      <c r="T5" s="1">
        <v>0.0</v>
      </c>
      <c r="U5" s="1">
        <v>0.0</v>
      </c>
      <c r="V5" s="1">
        <v>2.0</v>
      </c>
    </row>
    <row r="6" ht="15.75" customHeight="1">
      <c r="A6" s="1" t="s">
        <v>22</v>
      </c>
      <c r="B6" s="1" t="s">
        <v>34</v>
      </c>
      <c r="C6" s="1">
        <v>1500.0</v>
      </c>
      <c r="D6" s="1">
        <v>2800.0</v>
      </c>
      <c r="E6" s="1" t="s">
        <v>24</v>
      </c>
      <c r="F6" s="1">
        <v>800.0</v>
      </c>
      <c r="G6" s="1">
        <v>9999.0</v>
      </c>
      <c r="H6" s="1">
        <v>54.0</v>
      </c>
      <c r="I6" s="1">
        <f t="shared" si="1"/>
        <v>11.88</v>
      </c>
      <c r="J6" s="1" t="s">
        <v>35</v>
      </c>
      <c r="K6" s="1">
        <v>1.0</v>
      </c>
      <c r="L6" s="1">
        <v>1.0</v>
      </c>
      <c r="M6" s="1">
        <v>0.0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2.0</v>
      </c>
    </row>
    <row r="7" ht="15.75" customHeight="1">
      <c r="A7" s="1" t="s">
        <v>22</v>
      </c>
      <c r="B7" s="1" t="s">
        <v>36</v>
      </c>
      <c r="C7" s="1">
        <v>1500.0</v>
      </c>
      <c r="D7" s="1">
        <v>2800.0</v>
      </c>
      <c r="E7" s="1" t="s">
        <v>24</v>
      </c>
      <c r="F7" s="1">
        <v>800.0</v>
      </c>
      <c r="G7" s="1">
        <v>1500.0</v>
      </c>
      <c r="H7" s="1">
        <v>56.0</v>
      </c>
      <c r="I7" s="1">
        <f t="shared" si="1"/>
        <v>12.32</v>
      </c>
      <c r="J7" s="1" t="s">
        <v>37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  <c r="V7" s="1">
        <v>7.0</v>
      </c>
    </row>
    <row r="8" ht="15.75" customHeight="1">
      <c r="A8" s="1" t="s">
        <v>22</v>
      </c>
      <c r="B8" s="1" t="s">
        <v>38</v>
      </c>
      <c r="C8" s="1">
        <v>1500.0</v>
      </c>
      <c r="D8" s="1">
        <v>2100.0</v>
      </c>
      <c r="E8" s="1" t="s">
        <v>24</v>
      </c>
      <c r="F8" s="1">
        <v>800.0</v>
      </c>
      <c r="G8" s="1">
        <v>9999.0</v>
      </c>
      <c r="H8" s="1">
        <v>42.0</v>
      </c>
      <c r="I8" s="1">
        <f t="shared" si="1"/>
        <v>9.24</v>
      </c>
      <c r="J8" s="1" t="s">
        <v>39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1.0</v>
      </c>
      <c r="V8" s="3">
        <v>46211.0</v>
      </c>
    </row>
    <row r="9" ht="15.75" customHeight="1">
      <c r="A9" s="1" t="s">
        <v>22</v>
      </c>
      <c r="B9" s="1" t="s">
        <v>40</v>
      </c>
      <c r="C9" s="1">
        <v>1500.0</v>
      </c>
      <c r="D9" s="1">
        <v>2800.0</v>
      </c>
      <c r="E9" s="1" t="s">
        <v>24</v>
      </c>
      <c r="F9" s="1">
        <v>800.0</v>
      </c>
      <c r="G9" s="1">
        <v>1500.0</v>
      </c>
      <c r="H9" s="1" t="s">
        <v>41</v>
      </c>
      <c r="I9" s="1">
        <v>11.0</v>
      </c>
      <c r="J9" s="1" t="s">
        <v>42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0.0</v>
      </c>
      <c r="U9" s="1">
        <v>0.0</v>
      </c>
      <c r="V9" s="3">
        <v>46275.0</v>
      </c>
    </row>
    <row r="10" ht="15.75" customHeight="1">
      <c r="A10" s="1" t="s">
        <v>43</v>
      </c>
      <c r="B10" s="1" t="s">
        <v>44</v>
      </c>
      <c r="C10" s="1">
        <v>900.0</v>
      </c>
      <c r="D10" s="1">
        <v>1500.0</v>
      </c>
      <c r="E10" s="1" t="s">
        <v>45</v>
      </c>
      <c r="F10" s="1">
        <v>400.0</v>
      </c>
      <c r="G10" s="1">
        <v>900.0</v>
      </c>
      <c r="H10" s="1">
        <v>26.0</v>
      </c>
      <c r="I10" s="1">
        <f t="shared" ref="I10:I26" si="2">H10*0.22</f>
        <v>5.72</v>
      </c>
      <c r="J10" s="1" t="s">
        <v>46</v>
      </c>
      <c r="K10" s="1">
        <v>0.0</v>
      </c>
      <c r="L10" s="1">
        <v>0.0</v>
      </c>
      <c r="M10" s="1">
        <v>0.5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0.0</v>
      </c>
      <c r="U10" s="1">
        <v>0.0</v>
      </c>
      <c r="V10" s="1">
        <v>11.0</v>
      </c>
    </row>
    <row r="11" ht="15.75" customHeight="1">
      <c r="A11" s="1" t="s">
        <v>43</v>
      </c>
      <c r="B11" s="1" t="s">
        <v>47</v>
      </c>
      <c r="C11" s="1">
        <v>900.0</v>
      </c>
      <c r="D11" s="1">
        <v>1500.0</v>
      </c>
      <c r="E11" s="1" t="s">
        <v>48</v>
      </c>
      <c r="F11" s="1">
        <v>800.0</v>
      </c>
      <c r="G11" s="1">
        <v>1500.0</v>
      </c>
      <c r="H11" s="1">
        <v>30.0</v>
      </c>
      <c r="I11" s="1">
        <f t="shared" si="2"/>
        <v>6.6</v>
      </c>
      <c r="J11" s="1" t="s">
        <v>49</v>
      </c>
      <c r="K11" s="1">
        <v>0.0</v>
      </c>
      <c r="L11" s="1">
        <v>1.0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1">
        <v>11.0</v>
      </c>
    </row>
    <row r="12" ht="15.75" customHeight="1">
      <c r="A12" s="1" t="s">
        <v>43</v>
      </c>
      <c r="B12" s="1" t="s">
        <v>50</v>
      </c>
      <c r="C12" s="1">
        <v>900.0</v>
      </c>
      <c r="D12" s="1">
        <v>1500.0</v>
      </c>
      <c r="E12" s="1" t="s">
        <v>48</v>
      </c>
      <c r="F12" s="1">
        <v>750.0</v>
      </c>
      <c r="G12" s="1">
        <v>1000.0</v>
      </c>
      <c r="H12" s="1">
        <v>32.0</v>
      </c>
      <c r="I12" s="1">
        <f t="shared" si="2"/>
        <v>7.04</v>
      </c>
      <c r="J12" s="1" t="s">
        <v>51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11.0</v>
      </c>
    </row>
    <row r="13" ht="15.75" customHeight="1">
      <c r="A13" s="1" t="s">
        <v>43</v>
      </c>
      <c r="B13" s="1" t="s">
        <v>52</v>
      </c>
      <c r="C13" s="1">
        <v>800.0</v>
      </c>
      <c r="D13" s="1">
        <v>1500.0</v>
      </c>
      <c r="E13" s="1" t="s">
        <v>53</v>
      </c>
      <c r="F13" s="1">
        <v>800.0</v>
      </c>
      <c r="G13" s="1">
        <v>1500.0</v>
      </c>
      <c r="H13" s="1">
        <v>32.0</v>
      </c>
      <c r="I13" s="1">
        <f t="shared" si="2"/>
        <v>7.04</v>
      </c>
      <c r="J13" s="1" t="s">
        <v>54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1.0</v>
      </c>
      <c r="S13" s="1">
        <v>0.0</v>
      </c>
      <c r="T13" s="1">
        <v>0.0</v>
      </c>
      <c r="U13" s="1">
        <v>0.0</v>
      </c>
      <c r="V13" s="1">
        <v>7.0</v>
      </c>
    </row>
    <row r="14" ht="15.75" customHeight="1">
      <c r="A14" s="1" t="s">
        <v>43</v>
      </c>
      <c r="B14" s="1" t="s">
        <v>55</v>
      </c>
      <c r="C14" s="1">
        <v>800.0</v>
      </c>
      <c r="D14" s="1">
        <v>1500.0</v>
      </c>
      <c r="E14" s="1" t="s">
        <v>56</v>
      </c>
      <c r="F14" s="1">
        <v>800.0</v>
      </c>
      <c r="G14" s="1">
        <v>1500.0</v>
      </c>
      <c r="H14" s="1">
        <v>33.0</v>
      </c>
      <c r="I14" s="1">
        <f t="shared" si="2"/>
        <v>7.26</v>
      </c>
      <c r="J14" s="1" t="s">
        <v>57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7.0</v>
      </c>
    </row>
    <row r="15" ht="15.75" customHeight="1">
      <c r="A15" s="1" t="s">
        <v>43</v>
      </c>
      <c r="B15" s="1" t="s">
        <v>58</v>
      </c>
      <c r="C15" s="1">
        <v>800.0</v>
      </c>
      <c r="D15" s="1">
        <v>1500.0</v>
      </c>
      <c r="E15" s="1" t="s">
        <v>59</v>
      </c>
      <c r="F15" s="1">
        <v>800.0</v>
      </c>
      <c r="G15" s="1">
        <v>1500.0</v>
      </c>
      <c r="H15" s="1">
        <v>28.0</v>
      </c>
      <c r="I15" s="1">
        <f t="shared" si="2"/>
        <v>6.16</v>
      </c>
      <c r="J15" s="1" t="s">
        <v>60</v>
      </c>
      <c r="K15" s="1">
        <v>1.0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1.0</v>
      </c>
      <c r="T15" s="1">
        <v>0.0</v>
      </c>
      <c r="U15" s="1">
        <v>0.0</v>
      </c>
      <c r="V15" s="1">
        <v>12.0</v>
      </c>
    </row>
    <row r="16" ht="15.75" customHeight="1">
      <c r="A16" s="1" t="s">
        <v>43</v>
      </c>
      <c r="B16" s="1" t="s">
        <v>61</v>
      </c>
      <c r="C16" s="1">
        <v>800.0</v>
      </c>
      <c r="D16" s="1">
        <v>1500.0</v>
      </c>
      <c r="E16" s="1" t="s">
        <v>45</v>
      </c>
      <c r="F16" s="1">
        <v>750.0</v>
      </c>
      <c r="G16" s="1">
        <v>1000.0</v>
      </c>
      <c r="H16" s="1">
        <v>24.0</v>
      </c>
      <c r="I16" s="1">
        <f t="shared" si="2"/>
        <v>5.28</v>
      </c>
      <c r="J16" s="1" t="s">
        <v>62</v>
      </c>
      <c r="K16" s="1">
        <v>1.0</v>
      </c>
      <c r="L16" s="1">
        <v>1.0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12.0</v>
      </c>
    </row>
    <row r="17" ht="15.75" customHeight="1">
      <c r="A17" s="1" t="s">
        <v>43</v>
      </c>
      <c r="B17" s="1" t="s">
        <v>63</v>
      </c>
      <c r="C17" s="1">
        <v>800.0</v>
      </c>
      <c r="D17" s="1">
        <v>1500.0</v>
      </c>
      <c r="E17" s="1" t="s">
        <v>64</v>
      </c>
      <c r="F17" s="1">
        <v>800.0</v>
      </c>
      <c r="G17" s="1">
        <v>1500.0</v>
      </c>
      <c r="H17" s="1">
        <v>22.5</v>
      </c>
      <c r="I17" s="1">
        <f t="shared" si="2"/>
        <v>4.95</v>
      </c>
      <c r="J17" s="1" t="s">
        <v>65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3">
        <v>46247.0</v>
      </c>
    </row>
    <row r="18" ht="15.75" customHeight="1">
      <c r="A18" s="1" t="s">
        <v>66</v>
      </c>
      <c r="B18" s="1" t="s">
        <v>67</v>
      </c>
      <c r="C18" s="1">
        <v>900.0</v>
      </c>
      <c r="D18" s="1">
        <v>1400.0</v>
      </c>
      <c r="E18" s="1" t="s">
        <v>68</v>
      </c>
      <c r="F18" s="1">
        <v>200.0</v>
      </c>
      <c r="G18" s="1">
        <v>500.0</v>
      </c>
      <c r="H18" s="1">
        <v>15.0</v>
      </c>
      <c r="I18" s="1">
        <f t="shared" si="2"/>
        <v>3.3</v>
      </c>
      <c r="J18" s="1" t="s">
        <v>69</v>
      </c>
      <c r="K18" s="1">
        <v>0.0</v>
      </c>
      <c r="L18" s="1">
        <v>1.0</v>
      </c>
      <c r="M18" s="1">
        <v>0.0</v>
      </c>
      <c r="N18" s="1">
        <v>1.0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15.0</v>
      </c>
    </row>
    <row r="19" ht="15.75" customHeight="1">
      <c r="A19" s="1" t="s">
        <v>66</v>
      </c>
      <c r="B19" s="1" t="s">
        <v>70</v>
      </c>
      <c r="C19" s="1">
        <v>900.0</v>
      </c>
      <c r="D19" s="1">
        <v>1400.0</v>
      </c>
      <c r="E19" s="1" t="s">
        <v>71</v>
      </c>
      <c r="F19" s="1">
        <v>200.0</v>
      </c>
      <c r="G19" s="1">
        <v>500.0</v>
      </c>
      <c r="H19" s="1">
        <v>18.0</v>
      </c>
      <c r="I19" s="1">
        <f t="shared" si="2"/>
        <v>3.96</v>
      </c>
      <c r="J19" s="1" t="s">
        <v>72</v>
      </c>
      <c r="K19" s="1">
        <v>0.0</v>
      </c>
      <c r="L19" s="1">
        <v>0.0</v>
      </c>
      <c r="M19" s="1">
        <v>1.0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  <c r="T19" s="1">
        <v>0.0</v>
      </c>
      <c r="U19" s="1">
        <v>0.0</v>
      </c>
      <c r="V19" s="1">
        <v>15.0</v>
      </c>
    </row>
    <row r="20" ht="15.75" customHeight="1">
      <c r="A20" s="1" t="s">
        <v>66</v>
      </c>
      <c r="B20" s="1" t="s">
        <v>73</v>
      </c>
      <c r="C20" s="1">
        <v>900.0</v>
      </c>
      <c r="D20" s="1">
        <v>1700.0</v>
      </c>
      <c r="E20" s="1" t="s">
        <v>74</v>
      </c>
      <c r="F20" s="1">
        <v>200.0</v>
      </c>
      <c r="G20" s="1">
        <v>500.0</v>
      </c>
      <c r="H20" s="1">
        <v>24.0</v>
      </c>
      <c r="I20" s="1">
        <f t="shared" si="2"/>
        <v>5.28</v>
      </c>
      <c r="J20" s="1" t="s">
        <v>75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1.0</v>
      </c>
      <c r="S20" s="1">
        <v>1.0</v>
      </c>
      <c r="T20" s="1">
        <v>0.0</v>
      </c>
      <c r="U20" s="1">
        <v>0.0</v>
      </c>
      <c r="V20" s="1">
        <v>15.0</v>
      </c>
    </row>
    <row r="21" ht="15.75" customHeight="1">
      <c r="A21" s="1" t="s">
        <v>66</v>
      </c>
      <c r="B21" s="1" t="s">
        <v>76</v>
      </c>
      <c r="C21" s="1">
        <v>900.0</v>
      </c>
      <c r="D21" s="1">
        <v>1700.0</v>
      </c>
      <c r="E21" s="1" t="s">
        <v>77</v>
      </c>
      <c r="F21" s="1">
        <v>200.0</v>
      </c>
      <c r="G21" s="1">
        <v>500.0</v>
      </c>
      <c r="H21" s="1">
        <v>26.0</v>
      </c>
      <c r="I21" s="1">
        <f t="shared" si="2"/>
        <v>5.72</v>
      </c>
      <c r="J21" s="1" t="s">
        <v>78</v>
      </c>
      <c r="K21" s="1">
        <v>0.0</v>
      </c>
      <c r="L21" s="1">
        <v>0.0</v>
      </c>
      <c r="M21" s="1">
        <v>0.0</v>
      </c>
      <c r="N21" s="1">
        <v>0.0</v>
      </c>
      <c r="O21" s="1">
        <v>1.0</v>
      </c>
      <c r="P21" s="1">
        <v>0.0</v>
      </c>
      <c r="Q21" s="1">
        <v>0.0</v>
      </c>
      <c r="R21" s="1">
        <v>0.0</v>
      </c>
      <c r="S21" s="1">
        <v>1.0</v>
      </c>
      <c r="T21" s="1">
        <v>0.0</v>
      </c>
      <c r="U21" s="1">
        <v>0.0</v>
      </c>
      <c r="V21" s="1">
        <v>15.0</v>
      </c>
    </row>
    <row r="22" ht="15.75" customHeight="1">
      <c r="A22" s="1" t="s">
        <v>66</v>
      </c>
      <c r="B22" s="1" t="s">
        <v>79</v>
      </c>
      <c r="C22" s="1">
        <v>0.0</v>
      </c>
      <c r="D22" s="1">
        <v>1200.0</v>
      </c>
      <c r="E22" s="1" t="s">
        <v>74</v>
      </c>
      <c r="F22" s="1">
        <v>400.0</v>
      </c>
      <c r="G22" s="1">
        <v>800.0</v>
      </c>
      <c r="H22" s="1">
        <v>20.0</v>
      </c>
      <c r="I22" s="1">
        <f t="shared" si="2"/>
        <v>4.4</v>
      </c>
      <c r="J22" s="1" t="s">
        <v>80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  <c r="T22" s="1">
        <v>1.0</v>
      </c>
      <c r="U22" s="1">
        <v>0.0</v>
      </c>
      <c r="V22" s="1">
        <v>14.0</v>
      </c>
    </row>
    <row r="23" ht="15.75" customHeight="1">
      <c r="A23" s="1" t="s">
        <v>66</v>
      </c>
      <c r="B23" s="1" t="s">
        <v>81</v>
      </c>
      <c r="C23" s="1">
        <v>0.0</v>
      </c>
      <c r="D23" s="1">
        <v>1200.0</v>
      </c>
      <c r="E23" s="1" t="s">
        <v>77</v>
      </c>
      <c r="F23" s="1">
        <v>400.0</v>
      </c>
      <c r="G23" s="1">
        <v>800.0</v>
      </c>
      <c r="H23" s="1">
        <v>26.0</v>
      </c>
      <c r="I23" s="1">
        <f t="shared" si="2"/>
        <v>5.72</v>
      </c>
      <c r="J23" s="1" t="s">
        <v>82</v>
      </c>
      <c r="K23" s="1">
        <v>0.0</v>
      </c>
      <c r="L23" s="1">
        <v>0.0</v>
      </c>
      <c r="M23" s="1">
        <v>0.0</v>
      </c>
      <c r="N23" s="1">
        <v>1.0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14.0</v>
      </c>
    </row>
    <row r="24" ht="15.75" customHeight="1">
      <c r="A24" s="1" t="s">
        <v>66</v>
      </c>
      <c r="B24" s="1" t="s">
        <v>83</v>
      </c>
      <c r="C24" s="1">
        <v>1000.0</v>
      </c>
      <c r="D24" s="1">
        <v>1150.0</v>
      </c>
      <c r="E24" s="1" t="s">
        <v>84</v>
      </c>
      <c r="F24" s="1">
        <v>200.0</v>
      </c>
      <c r="G24" s="1">
        <v>500.0</v>
      </c>
      <c r="H24" s="1">
        <v>25.0</v>
      </c>
      <c r="I24" s="1">
        <f t="shared" si="2"/>
        <v>5.5</v>
      </c>
      <c r="J24" s="1" t="s">
        <v>85</v>
      </c>
      <c r="K24" s="1">
        <v>0.0</v>
      </c>
      <c r="L24" s="1">
        <v>0.0</v>
      </c>
      <c r="M24" s="1">
        <v>0.0</v>
      </c>
      <c r="N24" s="1">
        <v>0.0</v>
      </c>
      <c r="O24" s="1">
        <v>1.0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13.0</v>
      </c>
    </row>
    <row r="25" ht="15.75" customHeight="1">
      <c r="A25" s="1" t="s">
        <v>66</v>
      </c>
      <c r="B25" s="1" t="s">
        <v>86</v>
      </c>
      <c r="C25" s="1">
        <v>800.0</v>
      </c>
      <c r="D25" s="1">
        <v>1400.0</v>
      </c>
      <c r="E25" s="1" t="s">
        <v>87</v>
      </c>
      <c r="F25" s="1">
        <v>200.0</v>
      </c>
      <c r="G25" s="1">
        <v>500.0</v>
      </c>
      <c r="H25" s="1">
        <v>30.0</v>
      </c>
      <c r="I25" s="1">
        <f t="shared" si="2"/>
        <v>6.6</v>
      </c>
      <c r="J25" s="1" t="s">
        <v>88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1.0</v>
      </c>
      <c r="T25" s="1">
        <v>0.0</v>
      </c>
      <c r="U25" s="1">
        <v>0.0</v>
      </c>
      <c r="V25" s="1">
        <v>13.0</v>
      </c>
    </row>
    <row r="26" ht="15.75" customHeight="1">
      <c r="A26" s="1" t="s">
        <v>66</v>
      </c>
      <c r="B26" s="1" t="s">
        <v>89</v>
      </c>
      <c r="C26" s="1">
        <v>0.0</v>
      </c>
      <c r="D26" s="1">
        <v>1000.0</v>
      </c>
      <c r="E26" s="1" t="s">
        <v>90</v>
      </c>
      <c r="F26" s="1">
        <v>250.0</v>
      </c>
      <c r="G26" s="1">
        <v>500.0</v>
      </c>
      <c r="H26" s="1">
        <v>19.0</v>
      </c>
      <c r="I26" s="1">
        <f t="shared" si="2"/>
        <v>4.18</v>
      </c>
      <c r="J26" s="1" t="s">
        <v>91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7.0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